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/Library/CloudStorage/Dropbox/Trading/"/>
    </mc:Choice>
  </mc:AlternateContent>
  <xr:revisionPtr revIDLastSave="0" documentId="8_{632A2E23-D410-984C-A4BF-74E607015020}" xr6:coauthVersionLast="47" xr6:coauthVersionMax="47" xr10:uidLastSave="{00000000-0000-0000-0000-000000000000}"/>
  <bookViews>
    <workbookView xWindow="360" yWindow="500" windowWidth="21760" windowHeight="16740" xr2:uid="{2812EAA4-EEEF-014B-80E9-C626B1303130}"/>
  </bookViews>
  <sheets>
    <sheet name="EXAM" sheetId="1" r:id="rId1"/>
  </sheets>
  <calcPr calcId="0"/>
</workbook>
</file>

<file path=xl/calcChain.xml><?xml version="1.0" encoding="utf-8"?>
<calcChain xmlns="http://schemas.openxmlformats.org/spreadsheetml/2006/main">
  <c r="E2" i="1" l="1"/>
  <c r="H2" i="1"/>
  <c r="I2" i="1"/>
  <c r="J2" i="1"/>
  <c r="K2" i="1"/>
  <c r="L2" i="1"/>
  <c r="E3" i="1"/>
  <c r="H3" i="1"/>
  <c r="I3" i="1"/>
  <c r="J3" i="1"/>
  <c r="K3" i="1"/>
  <c r="L3" i="1"/>
  <c r="E4" i="1"/>
  <c r="H4" i="1"/>
  <c r="I4" i="1"/>
  <c r="J4" i="1"/>
  <c r="K4" i="1"/>
  <c r="L4" i="1"/>
  <c r="E5" i="1"/>
  <c r="H5" i="1"/>
  <c r="I5" i="1"/>
  <c r="J5" i="1"/>
  <c r="K5" i="1"/>
  <c r="L5" i="1"/>
  <c r="E6" i="1"/>
  <c r="H6" i="1"/>
  <c r="I6" i="1"/>
  <c r="J6" i="1"/>
  <c r="K6" i="1"/>
  <c r="L6" i="1"/>
  <c r="E7" i="1"/>
  <c r="H7" i="1"/>
  <c r="I7" i="1"/>
  <c r="J7" i="1"/>
  <c r="K7" i="1"/>
  <c r="L7" i="1"/>
  <c r="E8" i="1"/>
  <c r="H8" i="1"/>
  <c r="I8" i="1"/>
  <c r="J8" i="1"/>
  <c r="K8" i="1"/>
  <c r="L8" i="1"/>
  <c r="E9" i="1"/>
  <c r="H9" i="1"/>
  <c r="I9" i="1"/>
  <c r="J9" i="1"/>
  <c r="K9" i="1"/>
  <c r="L9" i="1"/>
  <c r="E10" i="1"/>
  <c r="H10" i="1"/>
  <c r="I10" i="1"/>
  <c r="J10" i="1"/>
  <c r="K10" i="1"/>
  <c r="L10" i="1"/>
  <c r="E11" i="1"/>
  <c r="H11" i="1"/>
  <c r="I11" i="1"/>
  <c r="J11" i="1"/>
  <c r="K11" i="1"/>
  <c r="L11" i="1"/>
  <c r="E12" i="1"/>
  <c r="H12" i="1"/>
  <c r="I12" i="1"/>
  <c r="J12" i="1"/>
  <c r="K12" i="1"/>
  <c r="L12" i="1"/>
  <c r="E13" i="1"/>
  <c r="H13" i="1"/>
  <c r="I13" i="1"/>
  <c r="J13" i="1"/>
  <c r="K13" i="1"/>
  <c r="L13" i="1"/>
  <c r="E14" i="1"/>
  <c r="H14" i="1"/>
  <c r="I14" i="1"/>
  <c r="J14" i="1"/>
  <c r="K14" i="1"/>
  <c r="L14" i="1"/>
  <c r="E15" i="1"/>
  <c r="H15" i="1"/>
  <c r="I15" i="1"/>
  <c r="J15" i="1"/>
  <c r="K15" i="1"/>
  <c r="L15" i="1"/>
  <c r="E16" i="1"/>
  <c r="H16" i="1"/>
  <c r="I16" i="1"/>
  <c r="J16" i="1"/>
  <c r="K16" i="1"/>
  <c r="L16" i="1"/>
  <c r="E17" i="1"/>
  <c r="H17" i="1"/>
  <c r="I17" i="1"/>
  <c r="J17" i="1"/>
  <c r="K17" i="1"/>
  <c r="L17" i="1"/>
  <c r="E18" i="1"/>
  <c r="H18" i="1"/>
  <c r="I18" i="1"/>
  <c r="J18" i="1"/>
  <c r="K18" i="1"/>
  <c r="L18" i="1"/>
  <c r="E19" i="1"/>
  <c r="H19" i="1"/>
  <c r="I19" i="1"/>
  <c r="J19" i="1"/>
  <c r="K19" i="1"/>
  <c r="L19" i="1"/>
  <c r="E20" i="1"/>
  <c r="H20" i="1"/>
  <c r="I20" i="1"/>
  <c r="J20" i="1"/>
  <c r="K20" i="1"/>
  <c r="L20" i="1"/>
  <c r="E21" i="1"/>
  <c r="H21" i="1"/>
  <c r="I21" i="1"/>
  <c r="J21" i="1"/>
  <c r="K21" i="1"/>
  <c r="L21" i="1"/>
  <c r="E22" i="1"/>
  <c r="H22" i="1"/>
  <c r="I22" i="1"/>
  <c r="J22" i="1"/>
  <c r="K22" i="1"/>
  <c r="L22" i="1"/>
  <c r="E23" i="1"/>
  <c r="H23" i="1"/>
  <c r="I23" i="1"/>
  <c r="J23" i="1"/>
  <c r="K23" i="1"/>
  <c r="L23" i="1"/>
  <c r="E24" i="1"/>
  <c r="H24" i="1"/>
  <c r="I24" i="1"/>
  <c r="J24" i="1"/>
  <c r="K24" i="1"/>
  <c r="L24" i="1"/>
  <c r="E25" i="1"/>
  <c r="H25" i="1"/>
  <c r="I25" i="1"/>
  <c r="J25" i="1"/>
  <c r="K25" i="1"/>
  <c r="L25" i="1"/>
  <c r="E26" i="1"/>
  <c r="H26" i="1"/>
  <c r="I26" i="1"/>
  <c r="J26" i="1"/>
  <c r="K26" i="1"/>
  <c r="L26" i="1"/>
  <c r="E27" i="1"/>
  <c r="H27" i="1"/>
  <c r="I27" i="1"/>
  <c r="J27" i="1"/>
  <c r="K27" i="1"/>
  <c r="L27" i="1"/>
  <c r="E28" i="1"/>
  <c r="H28" i="1"/>
  <c r="I28" i="1"/>
  <c r="J28" i="1"/>
  <c r="K28" i="1"/>
  <c r="L28" i="1"/>
  <c r="E29" i="1"/>
  <c r="H29" i="1"/>
  <c r="I29" i="1"/>
  <c r="J29" i="1"/>
  <c r="K29" i="1"/>
  <c r="L29" i="1"/>
  <c r="E30" i="1"/>
  <c r="H30" i="1"/>
  <c r="I30" i="1"/>
  <c r="J30" i="1"/>
  <c r="K30" i="1"/>
  <c r="L30" i="1"/>
  <c r="E31" i="1"/>
  <c r="F31" i="1"/>
  <c r="H31" i="1"/>
  <c r="I31" i="1"/>
  <c r="J31" i="1"/>
  <c r="K31" i="1"/>
  <c r="L31" i="1"/>
  <c r="E32" i="1"/>
  <c r="F32" i="1"/>
  <c r="G32" i="1"/>
  <c r="H32" i="1"/>
  <c r="I32" i="1"/>
  <c r="J32" i="1"/>
  <c r="K32" i="1"/>
  <c r="L32" i="1"/>
  <c r="E33" i="1"/>
  <c r="F33" i="1"/>
  <c r="G33" i="1"/>
  <c r="H33" i="1"/>
  <c r="I33" i="1"/>
  <c r="J33" i="1"/>
  <c r="K33" i="1"/>
  <c r="L33" i="1"/>
  <c r="E34" i="1"/>
  <c r="F34" i="1"/>
  <c r="G34" i="1"/>
  <c r="H34" i="1"/>
  <c r="I34" i="1"/>
  <c r="J34" i="1"/>
  <c r="K34" i="1"/>
  <c r="L34" i="1"/>
  <c r="E35" i="1"/>
  <c r="F35" i="1"/>
  <c r="G35" i="1"/>
  <c r="H35" i="1"/>
  <c r="I35" i="1"/>
  <c r="J35" i="1"/>
  <c r="K35" i="1"/>
  <c r="L35" i="1"/>
  <c r="E36" i="1"/>
  <c r="F36" i="1"/>
  <c r="G36" i="1"/>
  <c r="H36" i="1"/>
  <c r="I36" i="1"/>
  <c r="J36" i="1"/>
  <c r="K36" i="1"/>
  <c r="L36" i="1"/>
  <c r="E37" i="1"/>
  <c r="F37" i="1"/>
  <c r="G37" i="1"/>
  <c r="H37" i="1"/>
  <c r="I37" i="1"/>
  <c r="J37" i="1"/>
  <c r="K37" i="1"/>
  <c r="L37" i="1"/>
  <c r="E38" i="1"/>
  <c r="F38" i="1"/>
  <c r="G38" i="1"/>
  <c r="H38" i="1"/>
  <c r="I38" i="1"/>
  <c r="J38" i="1"/>
  <c r="K38" i="1"/>
  <c r="L38" i="1"/>
  <c r="E39" i="1"/>
  <c r="F39" i="1"/>
  <c r="G39" i="1"/>
  <c r="H39" i="1"/>
  <c r="I39" i="1"/>
  <c r="J39" i="1"/>
  <c r="K39" i="1"/>
  <c r="L39" i="1"/>
  <c r="E40" i="1"/>
  <c r="F40" i="1"/>
  <c r="G40" i="1"/>
  <c r="H40" i="1"/>
  <c r="I40" i="1"/>
  <c r="J40" i="1"/>
  <c r="K40" i="1"/>
  <c r="L40" i="1"/>
  <c r="E41" i="1"/>
  <c r="F41" i="1"/>
  <c r="G41" i="1"/>
  <c r="H41" i="1"/>
  <c r="I41" i="1"/>
  <c r="J41" i="1"/>
  <c r="K41" i="1"/>
  <c r="L41" i="1"/>
  <c r="E42" i="1"/>
  <c r="F42" i="1"/>
  <c r="G42" i="1"/>
  <c r="H42" i="1"/>
  <c r="I42" i="1"/>
  <c r="J42" i="1"/>
  <c r="K42" i="1"/>
  <c r="L42" i="1"/>
  <c r="E43" i="1"/>
  <c r="F43" i="1"/>
  <c r="G43" i="1"/>
  <c r="H43" i="1"/>
  <c r="I43" i="1"/>
  <c r="J43" i="1"/>
  <c r="K43" i="1"/>
  <c r="L43" i="1"/>
  <c r="E44" i="1"/>
  <c r="F44" i="1"/>
  <c r="G44" i="1"/>
  <c r="H44" i="1"/>
  <c r="I44" i="1"/>
  <c r="J44" i="1"/>
  <c r="K44" i="1"/>
  <c r="L44" i="1"/>
  <c r="E45" i="1"/>
  <c r="F45" i="1"/>
  <c r="G45" i="1"/>
  <c r="H45" i="1"/>
  <c r="I45" i="1"/>
  <c r="J45" i="1"/>
  <c r="K45" i="1"/>
  <c r="L45" i="1"/>
  <c r="E46" i="1"/>
  <c r="F46" i="1"/>
  <c r="G46" i="1"/>
  <c r="H46" i="1"/>
  <c r="I46" i="1"/>
  <c r="J46" i="1"/>
  <c r="K46" i="1"/>
  <c r="L46" i="1"/>
  <c r="E47" i="1"/>
  <c r="F47" i="1"/>
  <c r="G47" i="1"/>
  <c r="H47" i="1"/>
  <c r="I47" i="1"/>
  <c r="J47" i="1"/>
  <c r="K47" i="1"/>
  <c r="L47" i="1"/>
  <c r="E48" i="1"/>
  <c r="F48" i="1"/>
  <c r="G48" i="1"/>
  <c r="H48" i="1"/>
  <c r="I48" i="1"/>
  <c r="J48" i="1"/>
  <c r="K48" i="1"/>
  <c r="L48" i="1"/>
  <c r="E49" i="1"/>
  <c r="F49" i="1"/>
  <c r="G49" i="1"/>
  <c r="H49" i="1"/>
  <c r="I49" i="1"/>
  <c r="J49" i="1"/>
  <c r="K49" i="1"/>
  <c r="L49" i="1"/>
  <c r="E50" i="1"/>
  <c r="F50" i="1"/>
  <c r="G50" i="1"/>
  <c r="H50" i="1"/>
  <c r="I50" i="1"/>
  <c r="J50" i="1"/>
  <c r="K50" i="1"/>
  <c r="L50" i="1"/>
  <c r="E51" i="1"/>
  <c r="F51" i="1"/>
  <c r="G51" i="1"/>
  <c r="H51" i="1"/>
  <c r="I51" i="1"/>
  <c r="J51" i="1"/>
  <c r="K51" i="1"/>
  <c r="L51" i="1"/>
  <c r="E52" i="1"/>
  <c r="F52" i="1"/>
  <c r="G52" i="1"/>
  <c r="H52" i="1"/>
  <c r="I52" i="1"/>
  <c r="J52" i="1"/>
  <c r="K52" i="1"/>
  <c r="L52" i="1"/>
  <c r="E53" i="1"/>
  <c r="F53" i="1"/>
  <c r="G53" i="1"/>
  <c r="H53" i="1"/>
  <c r="I53" i="1"/>
  <c r="J53" i="1"/>
  <c r="K53" i="1"/>
  <c r="L53" i="1"/>
  <c r="E54" i="1"/>
  <c r="F54" i="1"/>
  <c r="G54" i="1"/>
  <c r="H54" i="1"/>
  <c r="I54" i="1"/>
  <c r="J54" i="1"/>
  <c r="K54" i="1"/>
  <c r="L54" i="1"/>
  <c r="E55" i="1"/>
  <c r="F55" i="1"/>
  <c r="G55" i="1"/>
  <c r="H55" i="1"/>
  <c r="I55" i="1"/>
  <c r="J55" i="1"/>
  <c r="K55" i="1"/>
  <c r="L55" i="1"/>
  <c r="E56" i="1"/>
  <c r="F56" i="1"/>
  <c r="G56" i="1"/>
  <c r="H56" i="1"/>
  <c r="I56" i="1"/>
  <c r="J56" i="1"/>
  <c r="K56" i="1"/>
  <c r="L56" i="1"/>
  <c r="E57" i="1"/>
  <c r="F57" i="1"/>
  <c r="G57" i="1"/>
  <c r="H57" i="1"/>
  <c r="I57" i="1"/>
  <c r="J57" i="1"/>
  <c r="K57" i="1"/>
  <c r="L57" i="1"/>
  <c r="E58" i="1"/>
  <c r="F58" i="1"/>
  <c r="G58" i="1"/>
  <c r="H58" i="1"/>
  <c r="I58" i="1"/>
  <c r="J58" i="1"/>
  <c r="K58" i="1"/>
  <c r="L58" i="1"/>
  <c r="E59" i="1"/>
  <c r="F59" i="1"/>
  <c r="G59" i="1"/>
  <c r="H59" i="1"/>
  <c r="I59" i="1"/>
  <c r="J59" i="1"/>
  <c r="K59" i="1"/>
  <c r="L59" i="1"/>
  <c r="E60" i="1"/>
  <c r="F60" i="1"/>
  <c r="G60" i="1"/>
  <c r="H60" i="1"/>
  <c r="I60" i="1"/>
  <c r="J60" i="1"/>
  <c r="K60" i="1"/>
  <c r="L60" i="1"/>
  <c r="E61" i="1"/>
  <c r="F61" i="1"/>
  <c r="G61" i="1"/>
  <c r="H61" i="1"/>
  <c r="I61" i="1"/>
  <c r="J61" i="1"/>
  <c r="K61" i="1"/>
  <c r="L61" i="1"/>
  <c r="E62" i="1"/>
  <c r="F62" i="1"/>
  <c r="G62" i="1"/>
  <c r="H62" i="1"/>
  <c r="I62" i="1"/>
  <c r="J62" i="1"/>
  <c r="K62" i="1"/>
  <c r="L62" i="1"/>
  <c r="E63" i="1"/>
  <c r="F63" i="1"/>
  <c r="G63" i="1"/>
  <c r="H63" i="1"/>
  <c r="I63" i="1"/>
  <c r="J63" i="1"/>
  <c r="K63" i="1"/>
  <c r="L63" i="1"/>
  <c r="E64" i="1"/>
  <c r="F64" i="1"/>
  <c r="G64" i="1"/>
  <c r="H64" i="1"/>
  <c r="I64" i="1"/>
  <c r="J64" i="1"/>
  <c r="K64" i="1"/>
  <c r="L64" i="1"/>
  <c r="E65" i="1"/>
  <c r="F65" i="1"/>
  <c r="G65" i="1"/>
  <c r="H65" i="1"/>
  <c r="I65" i="1"/>
  <c r="J65" i="1"/>
  <c r="K65" i="1"/>
  <c r="L65" i="1"/>
  <c r="E66" i="1"/>
  <c r="F66" i="1"/>
  <c r="G66" i="1"/>
  <c r="H66" i="1"/>
  <c r="I66" i="1"/>
  <c r="J66" i="1"/>
  <c r="K66" i="1"/>
  <c r="L66" i="1"/>
  <c r="E67" i="1"/>
  <c r="F67" i="1"/>
  <c r="G67" i="1"/>
  <c r="H67" i="1"/>
  <c r="I67" i="1"/>
  <c r="J67" i="1"/>
  <c r="K67" i="1"/>
  <c r="L67" i="1"/>
  <c r="D69" i="1"/>
  <c r="H69" i="1"/>
  <c r="D70" i="1"/>
  <c r="H70" i="1"/>
  <c r="H71" i="1"/>
  <c r="D74" i="1"/>
  <c r="E74" i="1"/>
  <c r="F74" i="1"/>
  <c r="G74" i="1"/>
  <c r="H74" i="1"/>
  <c r="D75" i="1"/>
  <c r="E75" i="1"/>
  <c r="F75" i="1"/>
  <c r="G75" i="1"/>
  <c r="H75" i="1"/>
  <c r="D76" i="1"/>
</calcChain>
</file>

<file path=xl/sharedStrings.xml><?xml version="1.0" encoding="utf-8"?>
<sst xmlns="http://schemas.openxmlformats.org/spreadsheetml/2006/main" count="23" uniqueCount="23">
  <si>
    <t>Date</t>
  </si>
  <si>
    <t>Entry</t>
  </si>
  <si>
    <t>Position</t>
  </si>
  <si>
    <t>Profit ($)</t>
  </si>
  <si>
    <t>Z-Score</t>
  </si>
  <si>
    <t>Correl</t>
  </si>
  <si>
    <t>HPR</t>
  </si>
  <si>
    <t>2 cont.</t>
  </si>
  <si>
    <t>D/H - Z</t>
  </si>
  <si>
    <t>D/H - C</t>
  </si>
  <si>
    <t>Opt.f</t>
  </si>
  <si>
    <t>Z-score:</t>
  </si>
  <si>
    <t>TWR:</t>
  </si>
  <si>
    <t>Correl:</t>
  </si>
  <si>
    <t>G:</t>
  </si>
  <si>
    <t>f:</t>
  </si>
  <si>
    <t>Unit:</t>
  </si>
  <si>
    <t>Winners:</t>
  </si>
  <si>
    <t>Losers:</t>
  </si>
  <si>
    <t>W/L:</t>
  </si>
  <si>
    <t>Number of contracts</t>
  </si>
  <si>
    <t>Threshold values</t>
  </si>
  <si>
    <t>Initial Stake: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</si>
</sst>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60DE-3EF3-6647-BE21-58809FD9E860}">
  <dimension ref="A1:DC78"/>
  <sheetViews>
    <sheetView tabSelected="1" workbookViewId="0">
      <pane ySplit="1" topLeftCell="A52" activePane="bottomLeft" state="frozen"/>
      <selection pane="bottomLeft" activeCell="L73" sqref="L73"/>
    </sheetView>
  </sheetViews>
  <sheetFormatPr baseColWidth="10" defaultRowHeight="13" x14ac:dyDescent="0.15"/>
  <cols>
    <col min="1" max="2" width="7.5" customWidth="1"/>
    <col min="3" max="3" width="8.33203125" customWidth="1"/>
    <col min="4" max="4" width="7.5" style="5" customWidth="1"/>
    <col min="5" max="5" width="5.5" customWidth="1"/>
    <col min="6" max="6" width="7.83203125" style="5" customWidth="1"/>
    <col min="7" max="7" width="6.5" style="5" customWidth="1"/>
    <col min="8" max="11" width="8.83203125" customWidth="1"/>
    <col min="12" max="12" width="10.1640625" customWidth="1"/>
    <col min="13" max="13" width="11.6640625" customWidth="1"/>
    <col min="14" max="256" width="8.83203125" customWidth="1"/>
  </cols>
  <sheetData>
    <row r="1" spans="1:12" x14ac:dyDescent="0.15">
      <c r="A1" s="3" t="s">
        <v>0</v>
      </c>
      <c r="B1" s="3" t="s">
        <v>1</v>
      </c>
      <c r="C1" s="3" t="s">
        <v>2</v>
      </c>
      <c r="D1" s="11" t="s">
        <v>3</v>
      </c>
      <c r="E1" s="11"/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15">
      <c r="A2">
        <v>870331</v>
      </c>
      <c r="C2">
        <v>1</v>
      </c>
      <c r="D2" s="1">
        <v>29875</v>
      </c>
      <c r="E2">
        <f t="shared" ref="E2:E66" si="0">IF(OR(AND(D2&gt;0,D1&lt;=0),AND(D2&lt;=0,D1&gt;0)),1,0)</f>
        <v>0</v>
      </c>
      <c r="H2" s="2">
        <f t="shared" ref="H2:H65" si="1">1+$D$71*(-D2/MIN($D$2:$D$67))</f>
        <v>1.3135680000000001</v>
      </c>
      <c r="I2" s="1">
        <f>D78+D2*F78</f>
        <v>159750</v>
      </c>
      <c r="J2" s="1">
        <f>D78+D2*F78</f>
        <v>159750</v>
      </c>
      <c r="K2" s="1">
        <f>D78+D2*F78</f>
        <v>159750</v>
      </c>
      <c r="L2" s="1">
        <f>D78+(D2*INT(D78/$H$71))</f>
        <v>129875</v>
      </c>
    </row>
    <row r="3" spans="1:12" x14ac:dyDescent="0.15">
      <c r="A3">
        <v>870522</v>
      </c>
      <c r="C3">
        <v>-1</v>
      </c>
      <c r="D3" s="1">
        <v>44750</v>
      </c>
      <c r="E3">
        <f t="shared" si="0"/>
        <v>0</v>
      </c>
      <c r="H3" s="2">
        <f t="shared" si="1"/>
        <v>1.4696959999999999</v>
      </c>
      <c r="I3" s="1">
        <f>I2+D3*$F$78</f>
        <v>249250</v>
      </c>
      <c r="J3" s="1">
        <f>J2+D3*$F$78</f>
        <v>249250</v>
      </c>
      <c r="K3" s="1">
        <f>K2+D3*$F$78</f>
        <v>249250</v>
      </c>
      <c r="L3" s="1">
        <f t="shared" ref="L3:L66" si="2">L2+(D3*INT(L2/$H$71))</f>
        <v>174625</v>
      </c>
    </row>
    <row r="4" spans="1:12" x14ac:dyDescent="0.15">
      <c r="A4">
        <v>870818</v>
      </c>
      <c r="C4">
        <v>1</v>
      </c>
      <c r="D4" s="1">
        <v>1875</v>
      </c>
      <c r="E4">
        <f t="shared" si="0"/>
        <v>0</v>
      </c>
      <c r="H4" s="2">
        <f t="shared" si="1"/>
        <v>1.0196799999999999</v>
      </c>
      <c r="I4" s="1">
        <f>I3+D4*$F$78</f>
        <v>253000</v>
      </c>
      <c r="J4" s="1">
        <f t="shared" ref="J4:J30" si="3">J3+D4*$F$78</f>
        <v>253000</v>
      </c>
      <c r="K4" s="1">
        <f t="shared" ref="K4:K31" si="4">K3+D4*$F$78</f>
        <v>253000</v>
      </c>
      <c r="L4" s="1">
        <f t="shared" si="2"/>
        <v>176500</v>
      </c>
    </row>
    <row r="5" spans="1:12" x14ac:dyDescent="0.15">
      <c r="A5">
        <v>870929</v>
      </c>
      <c r="C5">
        <v>-1</v>
      </c>
      <c r="D5" s="1">
        <v>-16750</v>
      </c>
      <c r="E5">
        <f t="shared" si="0"/>
        <v>1</v>
      </c>
      <c r="H5" s="2">
        <f t="shared" si="1"/>
        <v>0.82419200000000004</v>
      </c>
      <c r="I5" s="1">
        <f>I4+D5*$F$78</f>
        <v>219500</v>
      </c>
      <c r="J5" s="1">
        <f t="shared" si="3"/>
        <v>219500</v>
      </c>
      <c r="K5" s="1">
        <f t="shared" si="4"/>
        <v>219500</v>
      </c>
      <c r="L5" s="1">
        <f t="shared" si="2"/>
        <v>159750</v>
      </c>
    </row>
    <row r="6" spans="1:12" x14ac:dyDescent="0.15">
      <c r="A6">
        <v>871019</v>
      </c>
      <c r="C6">
        <v>1</v>
      </c>
      <c r="D6" s="1">
        <v>63250</v>
      </c>
      <c r="E6">
        <f t="shared" si="0"/>
        <v>1</v>
      </c>
      <c r="H6" s="2">
        <f t="shared" si="1"/>
        <v>1.663872</v>
      </c>
      <c r="I6" s="1">
        <f>I5+D6*$F$78</f>
        <v>346000</v>
      </c>
      <c r="J6" s="1">
        <f t="shared" si="3"/>
        <v>346000</v>
      </c>
      <c r="K6" s="1">
        <f t="shared" si="4"/>
        <v>346000</v>
      </c>
      <c r="L6" s="1">
        <f t="shared" si="2"/>
        <v>223000</v>
      </c>
    </row>
    <row r="7" spans="1:12" x14ac:dyDescent="0.15">
      <c r="A7">
        <v>880307</v>
      </c>
      <c r="C7">
        <v>1</v>
      </c>
      <c r="D7" s="1">
        <v>18125</v>
      </c>
      <c r="E7">
        <f t="shared" si="0"/>
        <v>0</v>
      </c>
      <c r="H7" s="2">
        <f t="shared" si="1"/>
        <v>1.19024</v>
      </c>
      <c r="I7" s="1">
        <f>I6+D7*$F$78</f>
        <v>382250</v>
      </c>
      <c r="J7" s="1">
        <f t="shared" si="3"/>
        <v>382250</v>
      </c>
      <c r="K7" s="1">
        <f t="shared" si="4"/>
        <v>382250</v>
      </c>
      <c r="L7" s="1">
        <f t="shared" si="2"/>
        <v>259250</v>
      </c>
    </row>
    <row r="8" spans="1:12" x14ac:dyDescent="0.15">
      <c r="A8">
        <v>880517</v>
      </c>
      <c r="C8">
        <v>-1</v>
      </c>
      <c r="D8" s="1">
        <v>61500</v>
      </c>
      <c r="E8">
        <f t="shared" si="0"/>
        <v>0</v>
      </c>
      <c r="H8" s="2">
        <f t="shared" si="1"/>
        <v>1.6455039999999999</v>
      </c>
      <c r="I8" s="1">
        <f t="shared" ref="I8:I66" si="5">I7+D8*$F$78</f>
        <v>505250</v>
      </c>
      <c r="J8" s="1">
        <f t="shared" si="3"/>
        <v>505250</v>
      </c>
      <c r="K8" s="1">
        <f t="shared" si="4"/>
        <v>505250</v>
      </c>
      <c r="L8" s="1">
        <f t="shared" si="2"/>
        <v>382250</v>
      </c>
    </row>
    <row r="9" spans="1:12" x14ac:dyDescent="0.15">
      <c r="A9">
        <v>880830</v>
      </c>
      <c r="C9">
        <v>-1</v>
      </c>
      <c r="D9" s="1">
        <v>-9250</v>
      </c>
      <c r="E9">
        <f t="shared" si="0"/>
        <v>1</v>
      </c>
      <c r="H9" s="2">
        <f t="shared" si="1"/>
        <v>0.90291200000000005</v>
      </c>
      <c r="I9" s="1">
        <f t="shared" si="5"/>
        <v>486750</v>
      </c>
      <c r="J9" s="1">
        <f t="shared" si="3"/>
        <v>486750</v>
      </c>
      <c r="K9" s="1">
        <f t="shared" si="4"/>
        <v>486750</v>
      </c>
      <c r="L9" s="1">
        <f t="shared" si="2"/>
        <v>345250</v>
      </c>
    </row>
    <row r="10" spans="1:12" x14ac:dyDescent="0.15">
      <c r="A10">
        <v>881010</v>
      </c>
      <c r="C10">
        <v>1</v>
      </c>
      <c r="D10" s="1">
        <v>67125</v>
      </c>
      <c r="E10">
        <f t="shared" si="0"/>
        <v>1</v>
      </c>
      <c r="H10" s="2">
        <f t="shared" si="1"/>
        <v>1.7045439999999998</v>
      </c>
      <c r="I10" s="1">
        <f t="shared" si="5"/>
        <v>621000</v>
      </c>
      <c r="J10" s="1">
        <f t="shared" si="3"/>
        <v>621000</v>
      </c>
      <c r="K10" s="1">
        <f t="shared" si="4"/>
        <v>621000</v>
      </c>
      <c r="L10" s="1">
        <f t="shared" si="2"/>
        <v>546625</v>
      </c>
    </row>
    <row r="11" spans="1:12" x14ac:dyDescent="0.15">
      <c r="A11">
        <v>881216</v>
      </c>
      <c r="C11">
        <v>-1</v>
      </c>
      <c r="D11" s="1">
        <v>27750</v>
      </c>
      <c r="E11">
        <f t="shared" si="0"/>
        <v>0</v>
      </c>
      <c r="H11" s="2">
        <f t="shared" si="1"/>
        <v>1.291264</v>
      </c>
      <c r="I11" s="1">
        <f t="shared" si="5"/>
        <v>676500</v>
      </c>
      <c r="J11" s="1">
        <f t="shared" si="3"/>
        <v>676500</v>
      </c>
      <c r="K11" s="1">
        <f t="shared" si="4"/>
        <v>676500</v>
      </c>
      <c r="L11" s="1">
        <f t="shared" si="2"/>
        <v>685375</v>
      </c>
    </row>
    <row r="12" spans="1:12" x14ac:dyDescent="0.15">
      <c r="A12">
        <v>890308</v>
      </c>
      <c r="C12">
        <v>-1</v>
      </c>
      <c r="D12" s="1">
        <v>20000</v>
      </c>
      <c r="E12">
        <f t="shared" si="0"/>
        <v>0</v>
      </c>
      <c r="H12" s="2">
        <f t="shared" si="1"/>
        <v>1.2099199999999999</v>
      </c>
      <c r="I12" s="1">
        <f t="shared" si="5"/>
        <v>716500</v>
      </c>
      <c r="J12" s="1">
        <f t="shared" si="3"/>
        <v>716500</v>
      </c>
      <c r="K12" s="1">
        <f t="shared" si="4"/>
        <v>716500</v>
      </c>
      <c r="L12" s="1">
        <f t="shared" si="2"/>
        <v>825375</v>
      </c>
    </row>
    <row r="13" spans="1:12" x14ac:dyDescent="0.15">
      <c r="A13">
        <v>890428</v>
      </c>
      <c r="C13">
        <v>-1</v>
      </c>
      <c r="D13" s="1">
        <v>51750</v>
      </c>
      <c r="E13">
        <f t="shared" si="0"/>
        <v>0</v>
      </c>
      <c r="H13" s="2">
        <f t="shared" si="1"/>
        <v>1.5431680000000001</v>
      </c>
      <c r="I13" s="1">
        <f t="shared" si="5"/>
        <v>820000</v>
      </c>
      <c r="J13" s="1">
        <f t="shared" si="3"/>
        <v>820000</v>
      </c>
      <c r="K13" s="1">
        <f t="shared" si="4"/>
        <v>820000</v>
      </c>
      <c r="L13" s="1">
        <f t="shared" si="2"/>
        <v>1239375</v>
      </c>
    </row>
    <row r="14" spans="1:12" x14ac:dyDescent="0.15">
      <c r="A14">
        <v>890731</v>
      </c>
      <c r="C14">
        <v>1</v>
      </c>
      <c r="D14" s="1">
        <v>-26375</v>
      </c>
      <c r="E14">
        <f t="shared" si="0"/>
        <v>1</v>
      </c>
      <c r="H14" s="2">
        <f t="shared" si="1"/>
        <v>0.72316800000000003</v>
      </c>
      <c r="I14" s="1">
        <f t="shared" si="5"/>
        <v>767250</v>
      </c>
      <c r="J14" s="1">
        <f t="shared" si="3"/>
        <v>767250</v>
      </c>
      <c r="K14" s="1">
        <f t="shared" si="4"/>
        <v>767250</v>
      </c>
      <c r="L14" s="1">
        <f t="shared" si="2"/>
        <v>896500</v>
      </c>
    </row>
    <row r="15" spans="1:12" x14ac:dyDescent="0.15">
      <c r="A15">
        <v>890817</v>
      </c>
      <c r="C15">
        <v>-1</v>
      </c>
      <c r="D15" s="1">
        <v>2125</v>
      </c>
      <c r="E15">
        <f t="shared" si="0"/>
        <v>1</v>
      </c>
      <c r="H15" s="2">
        <f t="shared" si="1"/>
        <v>1.0223040000000001</v>
      </c>
      <c r="I15" s="1">
        <f t="shared" si="5"/>
        <v>771500</v>
      </c>
      <c r="J15" s="1">
        <f t="shared" si="3"/>
        <v>771500</v>
      </c>
      <c r="K15" s="1">
        <f t="shared" si="4"/>
        <v>771500</v>
      </c>
      <c r="L15" s="1">
        <f t="shared" si="2"/>
        <v>915625</v>
      </c>
    </row>
    <row r="16" spans="1:12" x14ac:dyDescent="0.15">
      <c r="A16">
        <v>890926</v>
      </c>
      <c r="C16">
        <v>1</v>
      </c>
      <c r="D16" s="1">
        <v>-19250</v>
      </c>
      <c r="E16">
        <f t="shared" si="0"/>
        <v>1</v>
      </c>
      <c r="H16" s="2">
        <f t="shared" si="1"/>
        <v>0.79795199999999999</v>
      </c>
      <c r="I16" s="1">
        <f t="shared" si="5"/>
        <v>733000</v>
      </c>
      <c r="J16" s="1">
        <f t="shared" si="3"/>
        <v>733000</v>
      </c>
      <c r="K16" s="1">
        <f t="shared" si="4"/>
        <v>733000</v>
      </c>
      <c r="L16" s="1">
        <f t="shared" si="2"/>
        <v>742375</v>
      </c>
    </row>
    <row r="17" spans="1:12" x14ac:dyDescent="0.15">
      <c r="A17">
        <v>891113</v>
      </c>
      <c r="C17">
        <v>-1</v>
      </c>
      <c r="D17" s="1">
        <v>-5750</v>
      </c>
      <c r="E17">
        <f t="shared" si="0"/>
        <v>0</v>
      </c>
      <c r="H17" s="2">
        <f t="shared" si="1"/>
        <v>0.93964800000000004</v>
      </c>
      <c r="I17" s="1">
        <f t="shared" si="5"/>
        <v>721500</v>
      </c>
      <c r="J17" s="1">
        <f t="shared" si="3"/>
        <v>721500</v>
      </c>
      <c r="K17" s="1">
        <f t="shared" si="4"/>
        <v>721500</v>
      </c>
      <c r="L17" s="1">
        <f t="shared" si="2"/>
        <v>702125</v>
      </c>
    </row>
    <row r="18" spans="1:12" x14ac:dyDescent="0.15">
      <c r="A18">
        <v>891226</v>
      </c>
      <c r="C18">
        <v>1</v>
      </c>
      <c r="D18" s="1">
        <v>-14375</v>
      </c>
      <c r="E18">
        <f t="shared" si="0"/>
        <v>0</v>
      </c>
      <c r="H18" s="2">
        <f t="shared" si="1"/>
        <v>0.84911999999999999</v>
      </c>
      <c r="I18" s="1">
        <f t="shared" si="5"/>
        <v>692750</v>
      </c>
      <c r="J18" s="1">
        <f t="shared" si="3"/>
        <v>692750</v>
      </c>
      <c r="K18" s="1">
        <f t="shared" si="4"/>
        <v>692750</v>
      </c>
      <c r="L18" s="1">
        <f t="shared" si="2"/>
        <v>601500</v>
      </c>
    </row>
    <row r="19" spans="1:12" x14ac:dyDescent="0.15">
      <c r="A19">
        <v>900102</v>
      </c>
      <c r="C19">
        <v>-1</v>
      </c>
      <c r="D19" s="1">
        <v>70375</v>
      </c>
      <c r="E19">
        <f t="shared" si="0"/>
        <v>1</v>
      </c>
      <c r="H19" s="2">
        <f t="shared" si="1"/>
        <v>1.738656</v>
      </c>
      <c r="I19" s="1">
        <f t="shared" si="5"/>
        <v>833500</v>
      </c>
      <c r="J19" s="1">
        <f t="shared" si="3"/>
        <v>833500</v>
      </c>
      <c r="K19" s="1">
        <f t="shared" si="4"/>
        <v>833500</v>
      </c>
      <c r="L19" s="1">
        <f t="shared" si="2"/>
        <v>1023750</v>
      </c>
    </row>
    <row r="20" spans="1:12" x14ac:dyDescent="0.15">
      <c r="A20">
        <v>900511</v>
      </c>
      <c r="C20">
        <v>1</v>
      </c>
      <c r="D20" s="1">
        <v>-12125</v>
      </c>
      <c r="E20">
        <f t="shared" si="0"/>
        <v>1</v>
      </c>
      <c r="H20" s="2">
        <f t="shared" si="1"/>
        <v>0.87273599999999996</v>
      </c>
      <c r="I20" s="1">
        <f t="shared" si="5"/>
        <v>809250</v>
      </c>
      <c r="J20" s="1">
        <f t="shared" si="3"/>
        <v>809250</v>
      </c>
      <c r="K20" s="1">
        <f t="shared" si="4"/>
        <v>809250</v>
      </c>
      <c r="L20" s="1">
        <f t="shared" si="2"/>
        <v>902500</v>
      </c>
    </row>
    <row r="21" spans="1:12" x14ac:dyDescent="0.15">
      <c r="A21">
        <v>900625</v>
      </c>
      <c r="C21">
        <v>-1</v>
      </c>
      <c r="D21" s="1">
        <v>-12125</v>
      </c>
      <c r="E21">
        <f t="shared" si="0"/>
        <v>0</v>
      </c>
      <c r="H21" s="2">
        <f t="shared" si="1"/>
        <v>0.87273599999999996</v>
      </c>
      <c r="I21" s="1">
        <f t="shared" si="5"/>
        <v>785000</v>
      </c>
      <c r="J21" s="1">
        <f t="shared" si="3"/>
        <v>785000</v>
      </c>
      <c r="K21" s="1">
        <f t="shared" si="4"/>
        <v>785000</v>
      </c>
      <c r="L21" s="1">
        <f t="shared" si="2"/>
        <v>793375</v>
      </c>
    </row>
    <row r="22" spans="1:12" x14ac:dyDescent="0.15">
      <c r="A22">
        <v>900710</v>
      </c>
      <c r="C22">
        <v>1</v>
      </c>
      <c r="D22" s="1">
        <v>118750</v>
      </c>
      <c r="E22">
        <f t="shared" si="0"/>
        <v>1</v>
      </c>
      <c r="H22" s="2">
        <f t="shared" si="1"/>
        <v>2.2464</v>
      </c>
      <c r="I22" s="1">
        <f t="shared" si="5"/>
        <v>1022500</v>
      </c>
      <c r="J22" s="1">
        <f t="shared" si="3"/>
        <v>1022500</v>
      </c>
      <c r="K22" s="1">
        <f t="shared" si="4"/>
        <v>1022500</v>
      </c>
      <c r="L22" s="1">
        <f t="shared" si="2"/>
        <v>1743375</v>
      </c>
    </row>
    <row r="23" spans="1:12" x14ac:dyDescent="0.15">
      <c r="A23">
        <v>901129</v>
      </c>
      <c r="C23">
        <v>-1</v>
      </c>
      <c r="D23" s="1">
        <v>11375</v>
      </c>
      <c r="E23">
        <f t="shared" si="0"/>
        <v>0</v>
      </c>
      <c r="H23" s="2">
        <f t="shared" si="1"/>
        <v>1.1193919999999999</v>
      </c>
      <c r="I23" s="1">
        <f t="shared" si="5"/>
        <v>1045250</v>
      </c>
      <c r="J23" s="1">
        <f t="shared" si="3"/>
        <v>1045250</v>
      </c>
      <c r="K23" s="1">
        <f t="shared" si="4"/>
        <v>1045250</v>
      </c>
      <c r="L23" s="1">
        <f t="shared" si="2"/>
        <v>1948125</v>
      </c>
    </row>
    <row r="24" spans="1:12" x14ac:dyDescent="0.15">
      <c r="A24">
        <v>910117</v>
      </c>
      <c r="C24">
        <v>1</v>
      </c>
      <c r="D24" s="1">
        <v>3250</v>
      </c>
      <c r="E24">
        <f t="shared" si="0"/>
        <v>0</v>
      </c>
      <c r="H24" s="2">
        <f t="shared" si="1"/>
        <v>1.0341119999999999</v>
      </c>
      <c r="I24" s="1">
        <f t="shared" si="5"/>
        <v>1051750</v>
      </c>
      <c r="J24" s="1">
        <f t="shared" si="3"/>
        <v>1051750</v>
      </c>
      <c r="K24" s="1">
        <f t="shared" si="4"/>
        <v>1051750</v>
      </c>
      <c r="L24" s="1">
        <f t="shared" si="2"/>
        <v>2013125</v>
      </c>
    </row>
    <row r="25" spans="1:12" x14ac:dyDescent="0.15">
      <c r="A25">
        <v>910301</v>
      </c>
      <c r="C25">
        <v>-1</v>
      </c>
      <c r="D25" s="1">
        <v>10875</v>
      </c>
      <c r="E25">
        <f t="shared" si="0"/>
        <v>0</v>
      </c>
      <c r="H25" s="2">
        <f t="shared" si="1"/>
        <v>1.114144</v>
      </c>
      <c r="I25" s="1">
        <f t="shared" si="5"/>
        <v>1073500</v>
      </c>
      <c r="J25" s="1">
        <f t="shared" si="3"/>
        <v>1073500</v>
      </c>
      <c r="K25" s="1">
        <f t="shared" si="4"/>
        <v>1073500</v>
      </c>
      <c r="L25" s="1">
        <f t="shared" si="2"/>
        <v>2241500</v>
      </c>
    </row>
    <row r="26" spans="1:12" x14ac:dyDescent="0.15">
      <c r="A26">
        <v>910409</v>
      </c>
      <c r="C26">
        <v>1</v>
      </c>
      <c r="D26" s="1">
        <v>-19875</v>
      </c>
      <c r="E26">
        <f t="shared" si="0"/>
        <v>1</v>
      </c>
      <c r="H26" s="2">
        <f t="shared" si="1"/>
        <v>0.79139199999999998</v>
      </c>
      <c r="I26" s="1">
        <f t="shared" si="5"/>
        <v>1033750</v>
      </c>
      <c r="J26" s="1">
        <f t="shared" si="3"/>
        <v>1033750</v>
      </c>
      <c r="K26" s="1">
        <f t="shared" si="4"/>
        <v>1033750</v>
      </c>
      <c r="L26" s="1">
        <f t="shared" si="2"/>
        <v>1784375</v>
      </c>
    </row>
    <row r="27" spans="1:12" x14ac:dyDescent="0.15">
      <c r="A27">
        <v>910607</v>
      </c>
      <c r="C27">
        <v>-1</v>
      </c>
      <c r="D27" s="1">
        <v>-11625</v>
      </c>
      <c r="E27">
        <f t="shared" si="0"/>
        <v>0</v>
      </c>
      <c r="H27" s="2">
        <f t="shared" si="1"/>
        <v>0.87798399999999999</v>
      </c>
      <c r="I27" s="1">
        <f t="shared" si="5"/>
        <v>1010500</v>
      </c>
      <c r="J27" s="1">
        <f t="shared" si="3"/>
        <v>1010500</v>
      </c>
      <c r="K27" s="1">
        <f t="shared" si="4"/>
        <v>1010500</v>
      </c>
      <c r="L27" s="1">
        <f t="shared" si="2"/>
        <v>1575125</v>
      </c>
    </row>
    <row r="28" spans="1:12" x14ac:dyDescent="0.15">
      <c r="A28">
        <v>910712</v>
      </c>
      <c r="C28">
        <v>1</v>
      </c>
      <c r="D28" s="1">
        <v>-2625</v>
      </c>
      <c r="E28">
        <f t="shared" si="0"/>
        <v>0</v>
      </c>
      <c r="H28" s="2">
        <f t="shared" si="1"/>
        <v>0.97244799999999998</v>
      </c>
      <c r="I28" s="1">
        <f t="shared" si="5"/>
        <v>1005250</v>
      </c>
      <c r="J28" s="1">
        <f t="shared" si="3"/>
        <v>1005250</v>
      </c>
      <c r="K28" s="1">
        <f t="shared" si="4"/>
        <v>1005250</v>
      </c>
      <c r="L28" s="1">
        <f t="shared" si="2"/>
        <v>1533125</v>
      </c>
    </row>
    <row r="29" spans="1:12" x14ac:dyDescent="0.15">
      <c r="A29">
        <v>910904</v>
      </c>
      <c r="C29">
        <v>1</v>
      </c>
      <c r="D29" s="1">
        <v>39125</v>
      </c>
      <c r="E29">
        <f t="shared" si="0"/>
        <v>1</v>
      </c>
      <c r="H29" s="2">
        <f t="shared" si="1"/>
        <v>1.4106559999999999</v>
      </c>
      <c r="I29" s="1">
        <f t="shared" si="5"/>
        <v>1083500</v>
      </c>
      <c r="J29" s="1">
        <f t="shared" si="3"/>
        <v>1083500</v>
      </c>
      <c r="K29" s="1">
        <f t="shared" si="4"/>
        <v>1083500</v>
      </c>
      <c r="L29" s="1">
        <f t="shared" si="2"/>
        <v>2159125</v>
      </c>
    </row>
    <row r="30" spans="1:12" x14ac:dyDescent="0.15">
      <c r="A30">
        <v>911220</v>
      </c>
      <c r="C30">
        <v>1</v>
      </c>
      <c r="D30" s="1">
        <v>-375</v>
      </c>
      <c r="E30">
        <f t="shared" si="0"/>
        <v>1</v>
      </c>
      <c r="H30" s="2">
        <f t="shared" si="1"/>
        <v>0.99606399999999995</v>
      </c>
      <c r="I30" s="1">
        <f t="shared" si="5"/>
        <v>1082750</v>
      </c>
      <c r="J30" s="1">
        <f t="shared" si="3"/>
        <v>1082750</v>
      </c>
      <c r="K30" s="1">
        <f t="shared" si="4"/>
        <v>1082750</v>
      </c>
      <c r="L30" s="1">
        <f t="shared" si="2"/>
        <v>2150875</v>
      </c>
    </row>
    <row r="31" spans="1:12" x14ac:dyDescent="0.15">
      <c r="A31">
        <v>920225</v>
      </c>
      <c r="C31">
        <v>-1</v>
      </c>
      <c r="D31" s="1">
        <v>14750</v>
      </c>
      <c r="E31">
        <f t="shared" si="0"/>
        <v>1</v>
      </c>
      <c r="F31" s="5">
        <f t="shared" ref="F31:F67" si="6">ROUND((30*((COUNTIF(E3:E31,"=1")+1)-0.5)-(2*COUNTIF(D2:D31,"&gt;0")*COUNTIF(D2:D31,"&lt;0")))/((2*COUNTIF(D2:D31,"&gt;0")*COUNTIF(D2:D31,"&lt;0"))*((2*COUNTIF(D2:D31,"&gt;0")*COUNTIF(D2:D31,"&lt;0"))-30)/(30-1))^(1/2),2)</f>
        <v>0.04</v>
      </c>
      <c r="H31" s="2">
        <f t="shared" si="1"/>
        <v>1.1548160000000001</v>
      </c>
      <c r="I31" s="1">
        <f t="shared" si="5"/>
        <v>1112250</v>
      </c>
      <c r="J31" s="1">
        <f t="shared" ref="J31:J66" si="7">J30+(IF(AND(F31&lt;-$J$78,D30&gt;0),D31*$G$78,IF(AND(F31&lt;-$J$78,D30&lt;0),D31*$H$78,IF(AND(F31&gt;$J$78,D30&lt;0),D31*$G$78,IF(AND(F31&gt;$J$78,D30&gt;0),D31*$H$78,D31*$F$78)))))</f>
        <v>1112250</v>
      </c>
      <c r="K31" s="1">
        <f t="shared" si="4"/>
        <v>1112250</v>
      </c>
      <c r="L31" s="1">
        <f t="shared" si="2"/>
        <v>2475375</v>
      </c>
    </row>
    <row r="32" spans="1:12" x14ac:dyDescent="0.15">
      <c r="A32">
        <v>920512</v>
      </c>
      <c r="C32">
        <v>1</v>
      </c>
      <c r="D32" s="1">
        <v>46250</v>
      </c>
      <c r="E32">
        <f t="shared" si="0"/>
        <v>0</v>
      </c>
      <c r="F32" s="5">
        <f t="shared" si="6"/>
        <v>0.04</v>
      </c>
      <c r="G32" s="5">
        <f t="shared" ref="G32:G66" si="8">ROUND(CORREL(D2:D31,D3:D32),2)</f>
        <v>-0.18</v>
      </c>
      <c r="H32" s="2">
        <f t="shared" si="1"/>
        <v>1.4854399999999999</v>
      </c>
      <c r="I32" s="1">
        <f t="shared" si="5"/>
        <v>1204750</v>
      </c>
      <c r="J32" s="1">
        <f t="shared" si="7"/>
        <v>1204750</v>
      </c>
      <c r="K32" s="1">
        <f t="shared" ref="K32:K66" si="9">K31+(IF(AND(G32&gt;$K$78,D31&gt;0),D32*$G$78,IF(AND(G32&gt;$K$78,D31&lt;0),D32*$H$78,IF(AND(G32&lt;-$K$78,D31&lt;0),D32*$G$78,IF(AND(G32&lt;-$K$78,D31&gt;0),D32*$H$78,D32*$F$78)))))</f>
        <v>1204750</v>
      </c>
      <c r="L32" s="1">
        <f t="shared" si="2"/>
        <v>3631625</v>
      </c>
    </row>
    <row r="33" spans="1:12" x14ac:dyDescent="0.15">
      <c r="A33">
        <v>920724</v>
      </c>
      <c r="C33">
        <v>-1</v>
      </c>
      <c r="D33" s="1">
        <v>-8000</v>
      </c>
      <c r="E33">
        <f t="shared" si="0"/>
        <v>1</v>
      </c>
      <c r="F33" s="5">
        <f t="shared" si="6"/>
        <v>0.28999999999999998</v>
      </c>
      <c r="G33" s="5">
        <f t="shared" si="8"/>
        <v>-0.21</v>
      </c>
      <c r="H33" s="2">
        <f t="shared" si="1"/>
        <v>0.91603199999999996</v>
      </c>
      <c r="I33" s="1">
        <f t="shared" si="5"/>
        <v>1188750</v>
      </c>
      <c r="J33" s="1">
        <f t="shared" si="7"/>
        <v>1188750</v>
      </c>
      <c r="K33" s="1">
        <f t="shared" si="9"/>
        <v>1188750</v>
      </c>
      <c r="L33" s="1">
        <f t="shared" si="2"/>
        <v>3327625</v>
      </c>
    </row>
    <row r="34" spans="1:12" x14ac:dyDescent="0.15">
      <c r="A34">
        <v>920824</v>
      </c>
      <c r="C34">
        <v>1</v>
      </c>
      <c r="D34" s="1">
        <v>19625</v>
      </c>
      <c r="E34">
        <f t="shared" si="0"/>
        <v>1</v>
      </c>
      <c r="F34" s="5">
        <f t="shared" si="6"/>
        <v>0.28999999999999998</v>
      </c>
      <c r="G34" s="5">
        <f t="shared" si="8"/>
        <v>-0.2</v>
      </c>
      <c r="H34" s="2">
        <f t="shared" si="1"/>
        <v>1.2059839999999999</v>
      </c>
      <c r="I34" s="1">
        <f t="shared" si="5"/>
        <v>1228000</v>
      </c>
      <c r="J34" s="1">
        <f t="shared" si="7"/>
        <v>1228000</v>
      </c>
      <c r="K34" s="1">
        <f t="shared" si="9"/>
        <v>1228000</v>
      </c>
      <c r="L34" s="1">
        <f t="shared" si="2"/>
        <v>3994875</v>
      </c>
    </row>
    <row r="35" spans="1:12" x14ac:dyDescent="0.15">
      <c r="A35">
        <v>921109</v>
      </c>
      <c r="C35">
        <v>-1</v>
      </c>
      <c r="D35" s="1">
        <v>-4125</v>
      </c>
      <c r="E35">
        <f t="shared" si="0"/>
        <v>1</v>
      </c>
      <c r="F35" s="5">
        <f t="shared" si="6"/>
        <v>0.28999999999999998</v>
      </c>
      <c r="G35" s="5">
        <f t="shared" si="8"/>
        <v>-0.22</v>
      </c>
      <c r="H35" s="2">
        <f t="shared" si="1"/>
        <v>0.956704</v>
      </c>
      <c r="I35" s="1">
        <f t="shared" si="5"/>
        <v>1219750</v>
      </c>
      <c r="J35" s="1">
        <f t="shared" si="7"/>
        <v>1219750</v>
      </c>
      <c r="K35" s="1">
        <f t="shared" si="9"/>
        <v>1219750</v>
      </c>
      <c r="L35" s="1">
        <f t="shared" si="2"/>
        <v>3825750</v>
      </c>
    </row>
    <row r="36" spans="1:12" x14ac:dyDescent="0.15">
      <c r="A36">
        <v>921207</v>
      </c>
      <c r="C36">
        <v>1</v>
      </c>
      <c r="D36" s="1">
        <v>-11375</v>
      </c>
      <c r="E36">
        <f t="shared" si="0"/>
        <v>0</v>
      </c>
      <c r="F36" s="5">
        <f t="shared" si="6"/>
        <v>0.21</v>
      </c>
      <c r="G36" s="5">
        <f t="shared" si="8"/>
        <v>-0.17</v>
      </c>
      <c r="H36" s="2">
        <f t="shared" si="1"/>
        <v>0.88060800000000006</v>
      </c>
      <c r="I36" s="1">
        <f t="shared" si="5"/>
        <v>1197000</v>
      </c>
      <c r="J36" s="1">
        <f t="shared" si="7"/>
        <v>1197000</v>
      </c>
      <c r="K36" s="1">
        <f t="shared" si="9"/>
        <v>1197000</v>
      </c>
      <c r="L36" s="1">
        <f t="shared" si="2"/>
        <v>3370750</v>
      </c>
    </row>
    <row r="37" spans="1:12" x14ac:dyDescent="0.15">
      <c r="A37">
        <v>921228</v>
      </c>
      <c r="C37">
        <v>-1</v>
      </c>
      <c r="D37" s="1">
        <v>-6375</v>
      </c>
      <c r="E37">
        <f t="shared" si="0"/>
        <v>0</v>
      </c>
      <c r="F37" s="5">
        <f t="shared" si="6"/>
        <v>0.19</v>
      </c>
      <c r="G37" s="5">
        <f t="shared" si="8"/>
        <v>-0.16</v>
      </c>
      <c r="H37" s="2">
        <f t="shared" si="1"/>
        <v>0.93308800000000003</v>
      </c>
      <c r="I37" s="1">
        <f t="shared" si="5"/>
        <v>1184250</v>
      </c>
      <c r="J37" s="1">
        <f t="shared" si="7"/>
        <v>1184250</v>
      </c>
      <c r="K37" s="1">
        <f t="shared" si="9"/>
        <v>1184250</v>
      </c>
      <c r="L37" s="1">
        <f t="shared" si="2"/>
        <v>3147625</v>
      </c>
    </row>
    <row r="38" spans="1:12" x14ac:dyDescent="0.15">
      <c r="A38">
        <v>930209</v>
      </c>
      <c r="C38">
        <v>1</v>
      </c>
      <c r="D38" s="1">
        <v>156375</v>
      </c>
      <c r="E38">
        <f t="shared" si="0"/>
        <v>1</v>
      </c>
      <c r="F38" s="5">
        <f t="shared" si="6"/>
        <v>0.19</v>
      </c>
      <c r="G38" s="5">
        <f t="shared" si="8"/>
        <v>-0.2</v>
      </c>
      <c r="H38" s="2">
        <f t="shared" si="1"/>
        <v>2.6413119999999997</v>
      </c>
      <c r="I38" s="1">
        <f t="shared" si="5"/>
        <v>1497000</v>
      </c>
      <c r="J38" s="1">
        <f t="shared" si="7"/>
        <v>1497000</v>
      </c>
      <c r="K38" s="1">
        <f t="shared" si="9"/>
        <v>1497000</v>
      </c>
      <c r="L38" s="1">
        <f t="shared" si="2"/>
        <v>8308000</v>
      </c>
    </row>
    <row r="39" spans="1:12" x14ac:dyDescent="0.15">
      <c r="A39">
        <v>930921</v>
      </c>
      <c r="C39">
        <v>-1</v>
      </c>
      <c r="D39" s="1">
        <v>-22875</v>
      </c>
      <c r="E39">
        <f t="shared" si="0"/>
        <v>1</v>
      </c>
      <c r="F39" s="5">
        <f t="shared" si="6"/>
        <v>0.19</v>
      </c>
      <c r="G39" s="5">
        <f t="shared" si="8"/>
        <v>-0.25</v>
      </c>
      <c r="H39" s="2">
        <f t="shared" si="1"/>
        <v>0.75990400000000002</v>
      </c>
      <c r="I39" s="1">
        <f t="shared" si="5"/>
        <v>1451250</v>
      </c>
      <c r="J39" s="1">
        <f t="shared" si="7"/>
        <v>1451250</v>
      </c>
      <c r="K39" s="1">
        <f t="shared" si="9"/>
        <v>1451250</v>
      </c>
      <c r="L39" s="1">
        <f t="shared" si="2"/>
        <v>6317875</v>
      </c>
    </row>
    <row r="40" spans="1:12" x14ac:dyDescent="0.15">
      <c r="A40">
        <v>931014</v>
      </c>
      <c r="C40">
        <v>-1</v>
      </c>
      <c r="D40" s="1">
        <v>-6500</v>
      </c>
      <c r="E40">
        <f t="shared" si="0"/>
        <v>0</v>
      </c>
      <c r="F40" s="5">
        <f t="shared" si="6"/>
        <v>0.21</v>
      </c>
      <c r="G40" s="5">
        <f t="shared" si="8"/>
        <v>-0.21</v>
      </c>
      <c r="H40" s="2">
        <f t="shared" si="1"/>
        <v>0.93177600000000005</v>
      </c>
      <c r="I40" s="1">
        <f t="shared" si="5"/>
        <v>1438250</v>
      </c>
      <c r="J40" s="1">
        <f t="shared" si="7"/>
        <v>1438250</v>
      </c>
      <c r="K40" s="1">
        <f t="shared" si="9"/>
        <v>1438250</v>
      </c>
      <c r="L40" s="1">
        <f t="shared" si="2"/>
        <v>5888875</v>
      </c>
    </row>
    <row r="41" spans="1:12" x14ac:dyDescent="0.15">
      <c r="A41">
        <v>931123</v>
      </c>
      <c r="C41">
        <v>-1</v>
      </c>
      <c r="D41" s="1">
        <v>19000</v>
      </c>
      <c r="E41">
        <f t="shared" si="0"/>
        <v>1</v>
      </c>
      <c r="F41" s="5">
        <f t="shared" si="6"/>
        <v>0.57999999999999996</v>
      </c>
      <c r="G41" s="5">
        <f t="shared" si="8"/>
        <v>-0.23</v>
      </c>
      <c r="H41" s="2">
        <f t="shared" si="1"/>
        <v>1.199424</v>
      </c>
      <c r="I41" s="1">
        <f t="shared" si="5"/>
        <v>1476250</v>
      </c>
      <c r="J41" s="1">
        <f t="shared" si="7"/>
        <v>1476250</v>
      </c>
      <c r="K41" s="1">
        <f t="shared" si="9"/>
        <v>1476250</v>
      </c>
      <c r="L41" s="1">
        <f t="shared" si="2"/>
        <v>7047875</v>
      </c>
    </row>
    <row r="42" spans="1:12" x14ac:dyDescent="0.15">
      <c r="A42">
        <v>940127</v>
      </c>
      <c r="C42">
        <v>1</v>
      </c>
      <c r="D42" s="1">
        <v>64375</v>
      </c>
      <c r="E42">
        <f t="shared" si="0"/>
        <v>0</v>
      </c>
      <c r="F42" s="5">
        <f t="shared" si="6"/>
        <v>0.57999999999999996</v>
      </c>
      <c r="G42" s="5">
        <f t="shared" si="8"/>
        <v>-0.22</v>
      </c>
      <c r="H42" s="2">
        <f t="shared" si="1"/>
        <v>1.6756799999999998</v>
      </c>
      <c r="I42" s="1">
        <f t="shared" si="5"/>
        <v>1605000</v>
      </c>
      <c r="J42" s="1">
        <f t="shared" si="7"/>
        <v>1605000</v>
      </c>
      <c r="K42" s="1">
        <f t="shared" si="9"/>
        <v>1605000</v>
      </c>
      <c r="L42" s="1">
        <f t="shared" si="2"/>
        <v>11747250</v>
      </c>
    </row>
    <row r="43" spans="1:12" x14ac:dyDescent="0.15">
      <c r="A43">
        <v>940516</v>
      </c>
      <c r="C43">
        <v>-1</v>
      </c>
      <c r="D43" s="1">
        <v>-14625</v>
      </c>
      <c r="E43">
        <f t="shared" si="0"/>
        <v>1</v>
      </c>
      <c r="F43" s="5">
        <f t="shared" si="6"/>
        <v>0.67</v>
      </c>
      <c r="G43" s="5">
        <f t="shared" si="8"/>
        <v>-0.25</v>
      </c>
      <c r="H43" s="2">
        <f t="shared" si="1"/>
        <v>0.84649600000000003</v>
      </c>
      <c r="I43" s="1">
        <f t="shared" si="5"/>
        <v>1575750</v>
      </c>
      <c r="J43" s="1">
        <f t="shared" si="7"/>
        <v>1575750</v>
      </c>
      <c r="K43" s="1">
        <f t="shared" si="9"/>
        <v>1575750</v>
      </c>
      <c r="L43" s="1">
        <f t="shared" si="2"/>
        <v>9948375</v>
      </c>
    </row>
    <row r="44" spans="1:12" x14ac:dyDescent="0.15">
      <c r="A44">
        <v>940620</v>
      </c>
      <c r="C44">
        <v>1</v>
      </c>
      <c r="D44" s="1">
        <v>32000</v>
      </c>
      <c r="E44">
        <f t="shared" si="0"/>
        <v>1</v>
      </c>
      <c r="F44" s="5">
        <f t="shared" si="6"/>
        <v>0.57999999999999996</v>
      </c>
      <c r="G44" s="5">
        <f t="shared" si="8"/>
        <v>-0.23</v>
      </c>
      <c r="H44" s="2">
        <f t="shared" si="1"/>
        <v>1.3358719999999999</v>
      </c>
      <c r="I44" s="1">
        <f t="shared" si="5"/>
        <v>1639750</v>
      </c>
      <c r="J44" s="1">
        <f t="shared" si="7"/>
        <v>1639750</v>
      </c>
      <c r="K44" s="1">
        <f t="shared" si="9"/>
        <v>1639750</v>
      </c>
      <c r="L44" s="1">
        <f t="shared" si="2"/>
        <v>13276375</v>
      </c>
    </row>
    <row r="45" spans="1:12" x14ac:dyDescent="0.15">
      <c r="A45">
        <v>940803</v>
      </c>
      <c r="C45">
        <v>-1</v>
      </c>
      <c r="D45" s="1">
        <v>-25375</v>
      </c>
      <c r="E45">
        <f t="shared" si="0"/>
        <v>1</v>
      </c>
      <c r="F45" s="5">
        <f t="shared" si="6"/>
        <v>0.67</v>
      </c>
      <c r="G45" s="5">
        <f t="shared" si="8"/>
        <v>-0.26</v>
      </c>
      <c r="H45" s="2">
        <f t="shared" si="1"/>
        <v>0.73366400000000009</v>
      </c>
      <c r="I45" s="1">
        <f t="shared" si="5"/>
        <v>1589000</v>
      </c>
      <c r="J45" s="1">
        <f t="shared" si="7"/>
        <v>1589000</v>
      </c>
      <c r="K45" s="1">
        <f t="shared" si="9"/>
        <v>1589000</v>
      </c>
      <c r="L45" s="1">
        <f t="shared" si="2"/>
        <v>9749250</v>
      </c>
    </row>
    <row r="46" spans="1:12" x14ac:dyDescent="0.15">
      <c r="A46">
        <v>941003</v>
      </c>
      <c r="C46">
        <v>-1</v>
      </c>
      <c r="D46" s="1">
        <v>-26125</v>
      </c>
      <c r="E46">
        <f t="shared" si="0"/>
        <v>0</v>
      </c>
      <c r="F46" s="5">
        <f t="shared" si="6"/>
        <v>0.67</v>
      </c>
      <c r="G46" s="5">
        <f t="shared" si="8"/>
        <v>-0.23</v>
      </c>
      <c r="H46" s="2">
        <f t="shared" si="1"/>
        <v>0.72579199999999999</v>
      </c>
      <c r="I46" s="1">
        <f t="shared" si="5"/>
        <v>1536750</v>
      </c>
      <c r="J46" s="1">
        <f t="shared" si="7"/>
        <v>1536750</v>
      </c>
      <c r="K46" s="1">
        <f t="shared" si="9"/>
        <v>1536750</v>
      </c>
      <c r="L46" s="1">
        <f t="shared" si="2"/>
        <v>7084500</v>
      </c>
    </row>
    <row r="47" spans="1:12" x14ac:dyDescent="0.15">
      <c r="A47">
        <v>941017</v>
      </c>
      <c r="C47">
        <v>1</v>
      </c>
      <c r="D47" s="1">
        <v>-13125</v>
      </c>
      <c r="E47">
        <f t="shared" si="0"/>
        <v>0</v>
      </c>
      <c r="F47" s="5">
        <f t="shared" si="6"/>
        <v>0.67</v>
      </c>
      <c r="G47" s="5">
        <f t="shared" si="8"/>
        <v>-0.22</v>
      </c>
      <c r="H47" s="2">
        <f t="shared" si="1"/>
        <v>0.86224000000000001</v>
      </c>
      <c r="I47" s="1">
        <f t="shared" si="5"/>
        <v>1510500</v>
      </c>
      <c r="J47" s="1">
        <f t="shared" si="7"/>
        <v>1510500</v>
      </c>
      <c r="K47" s="1">
        <f t="shared" si="9"/>
        <v>1510500</v>
      </c>
      <c r="L47" s="1">
        <f t="shared" si="2"/>
        <v>6113250</v>
      </c>
    </row>
    <row r="48" spans="1:12" x14ac:dyDescent="0.15">
      <c r="A48">
        <v>941125</v>
      </c>
      <c r="C48">
        <v>-1</v>
      </c>
      <c r="D48" s="1">
        <v>15875</v>
      </c>
      <c r="E48">
        <f t="shared" si="0"/>
        <v>1</v>
      </c>
      <c r="F48" s="5">
        <f t="shared" si="6"/>
        <v>0.57999999999999996</v>
      </c>
      <c r="G48" s="5">
        <f t="shared" si="8"/>
        <v>-0.23</v>
      </c>
      <c r="H48" s="2">
        <f t="shared" si="1"/>
        <v>1.1666240000000001</v>
      </c>
      <c r="I48" s="1">
        <f t="shared" si="5"/>
        <v>1542250</v>
      </c>
      <c r="J48" s="1">
        <f t="shared" si="7"/>
        <v>1542250</v>
      </c>
      <c r="K48" s="1">
        <f t="shared" si="9"/>
        <v>1542250</v>
      </c>
      <c r="L48" s="1">
        <f t="shared" si="2"/>
        <v>7129250</v>
      </c>
    </row>
    <row r="49" spans="1:12" x14ac:dyDescent="0.15">
      <c r="A49">
        <v>950103</v>
      </c>
      <c r="C49">
        <v>-1</v>
      </c>
      <c r="D49" s="1">
        <v>-22875</v>
      </c>
      <c r="E49">
        <f t="shared" si="0"/>
        <v>1</v>
      </c>
      <c r="F49" s="5">
        <f t="shared" si="6"/>
        <v>0.67</v>
      </c>
      <c r="G49" s="5">
        <f t="shared" si="8"/>
        <v>-0.21</v>
      </c>
      <c r="H49" s="2">
        <f t="shared" si="1"/>
        <v>0.75990400000000002</v>
      </c>
      <c r="I49" s="1">
        <f t="shared" si="5"/>
        <v>1496500</v>
      </c>
      <c r="J49" s="1">
        <f t="shared" si="7"/>
        <v>1496500</v>
      </c>
      <c r="K49" s="1">
        <f t="shared" si="9"/>
        <v>1496500</v>
      </c>
      <c r="L49" s="1">
        <f t="shared" si="2"/>
        <v>5436500</v>
      </c>
    </row>
    <row r="50" spans="1:12" x14ac:dyDescent="0.15">
      <c r="A50">
        <v>950216</v>
      </c>
      <c r="C50">
        <v>1</v>
      </c>
      <c r="D50" s="1">
        <v>195250</v>
      </c>
      <c r="E50">
        <f t="shared" si="0"/>
        <v>1</v>
      </c>
      <c r="F50" s="5">
        <f t="shared" si="6"/>
        <v>0.96</v>
      </c>
      <c r="G50" s="5">
        <f t="shared" si="8"/>
        <v>-0.24</v>
      </c>
      <c r="H50" s="2">
        <f t="shared" si="1"/>
        <v>3.0493440000000001</v>
      </c>
      <c r="I50" s="1">
        <f t="shared" si="5"/>
        <v>1887000</v>
      </c>
      <c r="J50" s="1">
        <f t="shared" si="7"/>
        <v>1887000</v>
      </c>
      <c r="K50" s="1">
        <f t="shared" si="9"/>
        <v>1887000</v>
      </c>
      <c r="L50" s="1">
        <f t="shared" si="2"/>
        <v>16565750</v>
      </c>
    </row>
    <row r="51" spans="1:12" x14ac:dyDescent="0.15">
      <c r="A51">
        <v>950515</v>
      </c>
      <c r="C51">
        <v>-1</v>
      </c>
      <c r="D51" s="1">
        <v>-78125</v>
      </c>
      <c r="E51">
        <f t="shared" si="0"/>
        <v>1</v>
      </c>
      <c r="F51" s="5">
        <f t="shared" si="6"/>
        <v>0.96</v>
      </c>
      <c r="G51" s="5">
        <f t="shared" si="8"/>
        <v>-0.39</v>
      </c>
      <c r="H51" s="2">
        <f t="shared" si="1"/>
        <v>0.18000000000000005</v>
      </c>
      <c r="I51" s="1">
        <f t="shared" si="5"/>
        <v>1730750</v>
      </c>
      <c r="J51" s="1">
        <f t="shared" si="7"/>
        <v>1730750</v>
      </c>
      <c r="K51" s="1">
        <f t="shared" si="9"/>
        <v>1808875</v>
      </c>
      <c r="L51" s="1">
        <f t="shared" si="2"/>
        <v>3050125</v>
      </c>
    </row>
    <row r="52" spans="1:12" x14ac:dyDescent="0.15">
      <c r="A52">
        <v>950628</v>
      </c>
      <c r="C52">
        <v>-1</v>
      </c>
      <c r="D52" s="1">
        <v>225875</v>
      </c>
      <c r="E52">
        <f t="shared" si="0"/>
        <v>1</v>
      </c>
      <c r="F52" s="5">
        <f t="shared" si="6"/>
        <v>1.33</v>
      </c>
      <c r="G52" s="5">
        <f t="shared" si="8"/>
        <v>-0.48</v>
      </c>
      <c r="H52" s="2">
        <f t="shared" si="1"/>
        <v>3.370784</v>
      </c>
      <c r="I52" s="1">
        <f t="shared" si="5"/>
        <v>2182500</v>
      </c>
      <c r="J52" s="1">
        <f t="shared" si="7"/>
        <v>2634250</v>
      </c>
      <c r="K52" s="1">
        <f t="shared" si="9"/>
        <v>2712375</v>
      </c>
      <c r="L52" s="1">
        <f t="shared" si="2"/>
        <v>10278125</v>
      </c>
    </row>
    <row r="53" spans="1:12" x14ac:dyDescent="0.15">
      <c r="A53">
        <v>951025</v>
      </c>
      <c r="C53">
        <v>-1</v>
      </c>
      <c r="D53" s="1">
        <v>58375</v>
      </c>
      <c r="E53">
        <f t="shared" si="0"/>
        <v>0</v>
      </c>
      <c r="F53" s="5">
        <f t="shared" si="6"/>
        <v>1.33</v>
      </c>
      <c r="G53" s="5">
        <f t="shared" si="8"/>
        <v>-0.33</v>
      </c>
      <c r="H53" s="2">
        <f t="shared" si="1"/>
        <v>1.6127039999999999</v>
      </c>
      <c r="I53" s="1">
        <f t="shared" si="5"/>
        <v>2299250</v>
      </c>
      <c r="J53" s="1">
        <f t="shared" si="7"/>
        <v>2692625</v>
      </c>
      <c r="K53" s="1">
        <f t="shared" si="9"/>
        <v>2770750</v>
      </c>
      <c r="L53" s="1">
        <f t="shared" si="2"/>
        <v>16524250</v>
      </c>
    </row>
    <row r="54" spans="1:12" x14ac:dyDescent="0.15">
      <c r="A54">
        <v>960220</v>
      </c>
      <c r="C54">
        <v>1</v>
      </c>
      <c r="D54" s="1">
        <v>-18250</v>
      </c>
      <c r="E54">
        <f t="shared" si="0"/>
        <v>1</v>
      </c>
      <c r="F54" s="5">
        <f t="shared" si="6"/>
        <v>1.8</v>
      </c>
      <c r="G54" s="5">
        <f t="shared" si="8"/>
        <v>-0.34</v>
      </c>
      <c r="H54" s="2">
        <f t="shared" si="1"/>
        <v>0.80844800000000006</v>
      </c>
      <c r="I54" s="1">
        <f t="shared" si="5"/>
        <v>2262750</v>
      </c>
      <c r="J54" s="1">
        <f t="shared" si="7"/>
        <v>2674375</v>
      </c>
      <c r="K54" s="1">
        <f t="shared" si="9"/>
        <v>2752500</v>
      </c>
      <c r="L54" s="1">
        <f t="shared" si="2"/>
        <v>13367000</v>
      </c>
    </row>
    <row r="55" spans="1:12" x14ac:dyDescent="0.15">
      <c r="A55">
        <v>960319</v>
      </c>
      <c r="C55">
        <v>-1</v>
      </c>
      <c r="D55" s="1">
        <v>4375</v>
      </c>
      <c r="E55">
        <f t="shared" si="0"/>
        <v>1</v>
      </c>
      <c r="F55" s="5">
        <f t="shared" si="6"/>
        <v>1.8</v>
      </c>
      <c r="G55" s="5">
        <f t="shared" si="8"/>
        <v>-0.34</v>
      </c>
      <c r="H55" s="2">
        <f t="shared" si="1"/>
        <v>1.04592</v>
      </c>
      <c r="I55" s="1">
        <f t="shared" si="5"/>
        <v>2271500</v>
      </c>
      <c r="J55" s="1">
        <f t="shared" si="7"/>
        <v>2691875</v>
      </c>
      <c r="K55" s="1">
        <f t="shared" si="9"/>
        <v>2770000</v>
      </c>
      <c r="L55" s="1">
        <f t="shared" si="2"/>
        <v>13979500</v>
      </c>
    </row>
    <row r="56" spans="1:12" x14ac:dyDescent="0.15">
      <c r="A56">
        <v>960426</v>
      </c>
      <c r="C56">
        <v>1</v>
      </c>
      <c r="D56" s="1">
        <v>-18750</v>
      </c>
      <c r="E56">
        <f t="shared" si="0"/>
        <v>1</v>
      </c>
      <c r="F56" s="5">
        <f t="shared" si="6"/>
        <v>2.1800000000000002</v>
      </c>
      <c r="G56" s="5">
        <f t="shared" si="8"/>
        <v>-0.34</v>
      </c>
      <c r="H56" s="2">
        <f t="shared" si="1"/>
        <v>0.80320000000000003</v>
      </c>
      <c r="I56" s="1">
        <f t="shared" si="5"/>
        <v>2234000</v>
      </c>
      <c r="J56" s="1">
        <f t="shared" si="7"/>
        <v>2673125</v>
      </c>
      <c r="K56" s="1">
        <f t="shared" si="9"/>
        <v>2751250</v>
      </c>
      <c r="L56" s="1">
        <f t="shared" si="2"/>
        <v>11242000</v>
      </c>
    </row>
    <row r="57" spans="1:12" x14ac:dyDescent="0.15">
      <c r="A57">
        <v>960528</v>
      </c>
      <c r="C57">
        <v>-1</v>
      </c>
      <c r="D57" s="1">
        <v>13500</v>
      </c>
      <c r="E57">
        <f t="shared" si="0"/>
        <v>1</v>
      </c>
      <c r="F57" s="5">
        <f t="shared" si="6"/>
        <v>2.4500000000000002</v>
      </c>
      <c r="G57" s="5">
        <f t="shared" si="8"/>
        <v>-0.35</v>
      </c>
      <c r="H57" s="2">
        <f t="shared" si="1"/>
        <v>1.141696</v>
      </c>
      <c r="I57" s="1">
        <f t="shared" si="5"/>
        <v>2261000</v>
      </c>
      <c r="J57" s="1">
        <f t="shared" si="7"/>
        <v>2727125</v>
      </c>
      <c r="K57" s="1">
        <f t="shared" si="9"/>
        <v>2805250</v>
      </c>
      <c r="L57" s="1">
        <f t="shared" si="2"/>
        <v>12821500</v>
      </c>
    </row>
    <row r="58" spans="1:12" x14ac:dyDescent="0.15">
      <c r="A58">
        <v>960723</v>
      </c>
      <c r="C58">
        <v>1</v>
      </c>
      <c r="D58" s="1">
        <v>-16875</v>
      </c>
      <c r="E58">
        <f t="shared" si="0"/>
        <v>1</v>
      </c>
      <c r="F58" s="5">
        <f t="shared" si="6"/>
        <v>2.4500000000000002</v>
      </c>
      <c r="G58" s="5">
        <f t="shared" si="8"/>
        <v>-0.35</v>
      </c>
      <c r="H58" s="2">
        <f t="shared" si="1"/>
        <v>0.82288000000000006</v>
      </c>
      <c r="I58" s="1">
        <f t="shared" si="5"/>
        <v>2227250</v>
      </c>
      <c r="J58" s="1">
        <f t="shared" si="7"/>
        <v>2710250</v>
      </c>
      <c r="K58" s="1">
        <f t="shared" si="9"/>
        <v>2788375</v>
      </c>
      <c r="L58" s="1">
        <f t="shared" si="2"/>
        <v>10560250</v>
      </c>
    </row>
    <row r="59" spans="1:12" x14ac:dyDescent="0.15">
      <c r="A59">
        <v>960820</v>
      </c>
      <c r="C59">
        <v>-1</v>
      </c>
      <c r="D59" s="1">
        <v>42625</v>
      </c>
      <c r="E59">
        <f t="shared" si="0"/>
        <v>1</v>
      </c>
      <c r="F59" s="5">
        <f t="shared" si="6"/>
        <v>2.4500000000000002</v>
      </c>
      <c r="G59" s="5">
        <f t="shared" si="8"/>
        <v>-0.35</v>
      </c>
      <c r="H59" s="2">
        <f t="shared" si="1"/>
        <v>1.447392</v>
      </c>
      <c r="I59" s="1">
        <f t="shared" si="5"/>
        <v>2312500</v>
      </c>
      <c r="J59" s="1">
        <f t="shared" si="7"/>
        <v>2880750</v>
      </c>
      <c r="K59" s="1">
        <f t="shared" si="9"/>
        <v>2958875</v>
      </c>
      <c r="L59" s="1">
        <f t="shared" si="2"/>
        <v>15249000</v>
      </c>
    </row>
    <row r="60" spans="1:12" x14ac:dyDescent="0.15">
      <c r="A60">
        <v>961202</v>
      </c>
      <c r="C60">
        <v>-1</v>
      </c>
      <c r="D60" s="1">
        <v>66875</v>
      </c>
      <c r="E60">
        <f t="shared" si="0"/>
        <v>0</v>
      </c>
      <c r="F60" s="5">
        <f t="shared" si="6"/>
        <v>2.04</v>
      </c>
      <c r="G60" s="5">
        <f t="shared" si="8"/>
        <v>-0.34</v>
      </c>
      <c r="H60" s="2">
        <f t="shared" si="1"/>
        <v>1.7019199999999999</v>
      </c>
      <c r="I60" s="1">
        <f t="shared" si="5"/>
        <v>2446250</v>
      </c>
      <c r="J60" s="1">
        <f t="shared" si="7"/>
        <v>2947625</v>
      </c>
      <c r="K60" s="1">
        <f t="shared" si="9"/>
        <v>3025750</v>
      </c>
      <c r="L60" s="1">
        <f t="shared" si="2"/>
        <v>25949000</v>
      </c>
    </row>
    <row r="61" spans="1:12" x14ac:dyDescent="0.15">
      <c r="A61">
        <v>970325</v>
      </c>
      <c r="C61">
        <v>-1</v>
      </c>
      <c r="D61" s="1">
        <v>-16375</v>
      </c>
      <c r="E61">
        <f t="shared" si="0"/>
        <v>1</v>
      </c>
      <c r="F61" s="5">
        <f t="shared" si="6"/>
        <v>2.4500000000000002</v>
      </c>
      <c r="G61" s="5">
        <f t="shared" si="8"/>
        <v>-0.35</v>
      </c>
      <c r="H61" s="2">
        <f t="shared" si="1"/>
        <v>0.82812799999999998</v>
      </c>
      <c r="I61" s="1">
        <f t="shared" si="5"/>
        <v>2413500</v>
      </c>
      <c r="J61" s="1">
        <f t="shared" si="7"/>
        <v>2931250</v>
      </c>
      <c r="K61" s="1">
        <f t="shared" si="9"/>
        <v>3009375</v>
      </c>
      <c r="L61" s="1">
        <f t="shared" si="2"/>
        <v>21495000</v>
      </c>
    </row>
    <row r="62" spans="1:12" x14ac:dyDescent="0.15">
      <c r="A62">
        <v>970404</v>
      </c>
      <c r="C62">
        <v>-1</v>
      </c>
      <c r="D62" s="1">
        <v>9125</v>
      </c>
      <c r="E62">
        <f t="shared" si="0"/>
        <v>1</v>
      </c>
      <c r="F62" s="5">
        <f t="shared" si="6"/>
        <v>2.4500000000000002</v>
      </c>
      <c r="G62" s="5">
        <f t="shared" si="8"/>
        <v>-0.34</v>
      </c>
      <c r="H62" s="2">
        <f t="shared" si="1"/>
        <v>1.0957760000000001</v>
      </c>
      <c r="I62" s="1">
        <f t="shared" si="5"/>
        <v>2431750</v>
      </c>
      <c r="J62" s="1">
        <f t="shared" si="7"/>
        <v>2967750</v>
      </c>
      <c r="K62" s="1">
        <f t="shared" si="9"/>
        <v>3045875</v>
      </c>
      <c r="L62" s="1">
        <f t="shared" si="2"/>
        <v>23548125</v>
      </c>
    </row>
    <row r="63" spans="1:12" x14ac:dyDescent="0.15">
      <c r="A63">
        <v>970509</v>
      </c>
      <c r="C63">
        <v>1</v>
      </c>
      <c r="D63" s="1">
        <v>50000</v>
      </c>
      <c r="E63">
        <f t="shared" si="0"/>
        <v>0</v>
      </c>
      <c r="F63" s="5">
        <f t="shared" si="6"/>
        <v>2.04</v>
      </c>
      <c r="G63" s="5">
        <f t="shared" si="8"/>
        <v>-0.34</v>
      </c>
      <c r="H63" s="2">
        <f t="shared" si="1"/>
        <v>1.5247999999999999</v>
      </c>
      <c r="I63" s="1">
        <f t="shared" si="5"/>
        <v>2531750</v>
      </c>
      <c r="J63" s="1">
        <f t="shared" si="7"/>
        <v>3017750</v>
      </c>
      <c r="K63" s="1">
        <f t="shared" si="9"/>
        <v>3095875</v>
      </c>
      <c r="L63" s="1">
        <f t="shared" si="2"/>
        <v>35898125</v>
      </c>
    </row>
    <row r="64" spans="1:12" x14ac:dyDescent="0.15">
      <c r="A64">
        <v>970715</v>
      </c>
      <c r="C64">
        <v>-1</v>
      </c>
      <c r="D64" s="1">
        <v>56250</v>
      </c>
      <c r="E64">
        <f t="shared" si="0"/>
        <v>0</v>
      </c>
      <c r="F64" s="5">
        <f t="shared" si="6"/>
        <v>1.67</v>
      </c>
      <c r="G64" s="5">
        <f t="shared" si="8"/>
        <v>-0.33</v>
      </c>
      <c r="H64" s="2">
        <f t="shared" si="1"/>
        <v>1.5903999999999998</v>
      </c>
      <c r="I64" s="1">
        <f t="shared" si="5"/>
        <v>2644250</v>
      </c>
      <c r="J64" s="1">
        <f t="shared" si="7"/>
        <v>3074000</v>
      </c>
      <c r="K64" s="1">
        <f t="shared" si="9"/>
        <v>3152125</v>
      </c>
      <c r="L64" s="1">
        <f t="shared" si="2"/>
        <v>57048125</v>
      </c>
    </row>
    <row r="65" spans="1:107" x14ac:dyDescent="0.15">
      <c r="A65">
        <v>971024</v>
      </c>
      <c r="C65">
        <v>-1</v>
      </c>
      <c r="D65" s="1">
        <v>-28375</v>
      </c>
      <c r="E65">
        <f t="shared" si="0"/>
        <v>1</v>
      </c>
      <c r="F65" s="5">
        <f t="shared" si="6"/>
        <v>2.04</v>
      </c>
      <c r="G65" s="5">
        <f t="shared" si="8"/>
        <v>-0.34</v>
      </c>
      <c r="H65" s="2">
        <f t="shared" si="1"/>
        <v>0.70217600000000002</v>
      </c>
      <c r="I65" s="1">
        <f t="shared" si="5"/>
        <v>2587500</v>
      </c>
      <c r="J65" s="1">
        <f t="shared" si="7"/>
        <v>3045625</v>
      </c>
      <c r="K65" s="1">
        <f t="shared" si="9"/>
        <v>3123750</v>
      </c>
      <c r="L65" s="1">
        <f t="shared" si="2"/>
        <v>40079875</v>
      </c>
    </row>
    <row r="66" spans="1:107" x14ac:dyDescent="0.15">
      <c r="A66">
        <v>971028</v>
      </c>
      <c r="C66">
        <v>1</v>
      </c>
      <c r="D66" s="1">
        <v>-28500</v>
      </c>
      <c r="E66">
        <f t="shared" si="0"/>
        <v>0</v>
      </c>
      <c r="F66" s="5">
        <f t="shared" si="6"/>
        <v>2.04</v>
      </c>
      <c r="G66" s="5">
        <f t="shared" si="8"/>
        <v>-0.33</v>
      </c>
      <c r="H66" s="2">
        <f>1+$D$71*(-D66/MIN($D$2:$D$67))</f>
        <v>0.70086399999999993</v>
      </c>
      <c r="I66" s="1">
        <f t="shared" si="5"/>
        <v>2530500</v>
      </c>
      <c r="J66" s="1">
        <f t="shared" si="7"/>
        <v>2931625</v>
      </c>
      <c r="K66" s="1">
        <f t="shared" si="9"/>
        <v>3009750</v>
      </c>
      <c r="L66" s="1">
        <f t="shared" si="2"/>
        <v>28109875</v>
      </c>
    </row>
    <row r="67" spans="1:107" x14ac:dyDescent="0.15">
      <c r="A67">
        <v>971104</v>
      </c>
      <c r="C67">
        <v>-1</v>
      </c>
      <c r="D67" s="1">
        <v>64125</v>
      </c>
      <c r="E67">
        <f>IF(OR(AND(D67&gt;0,D66&lt;=0),AND(D67&lt;=0,D66&gt;0)),1,0)</f>
        <v>1</v>
      </c>
      <c r="F67" s="5">
        <f t="shared" si="6"/>
        <v>2.08</v>
      </c>
      <c r="G67" s="5">
        <f>ROUND(CORREL(D37:D66,D38:D67),2)</f>
        <v>-0.35</v>
      </c>
      <c r="H67" s="2">
        <f>1+$D$71*(-D67/MIN($D$2:$D$67))</f>
        <v>1.6730559999999999</v>
      </c>
      <c r="I67" s="1">
        <f>I66+D67*$F$78</f>
        <v>2658750</v>
      </c>
      <c r="J67" s="1">
        <f>J66+(IF(AND(F67&lt;-$J$78,D66&gt;0),D67*$G$78,IF(AND(F67&lt;-$J$78,D66&lt;0),D67*$H$78,IF(AND(F67&gt;$J$78,D66&lt;0),D67*$G$78,IF(AND(F67&gt;$J$78,D66&gt;0),D67*$H$78,D67*$F$78)))))</f>
        <v>3188125</v>
      </c>
      <c r="K67" s="1">
        <f>K66+(IF(AND(G67&gt;$K$78,D66&gt;0),D67*$G$78,IF(AND(G67&gt;$K$78,D66&lt;0),D67*$H$78,IF(AND(G67&lt;-$K$78,D66&lt;0),D67*$G$78,IF(AND(G67&lt;-$K$78,D66&gt;0),D67*$H$78,D67*$F$78)))))</f>
        <v>3266250</v>
      </c>
      <c r="L67" s="1">
        <f>L66+(D67*INT(L66/$H$71))</f>
        <v>47026750</v>
      </c>
    </row>
    <row r="68" spans="1:107" x14ac:dyDescent="0.15"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</row>
    <row r="69" spans="1:107" x14ac:dyDescent="0.15">
      <c r="A69" s="1"/>
      <c r="B69" s="1"/>
      <c r="C69" s="7" t="s">
        <v>11</v>
      </c>
      <c r="D69" s="5">
        <f>ROUND((66*((COUNTIF(E3:E67,"=1")+1)-0.5)-(2*COUNTIF(D2:D67,"&gt;0")*COUNTIF(D2:D67,"&lt;0")))/((2*COUNTIF(D2:D67,"&gt;0")*COUNTIF(D2:D67,"&lt;0"))*((2*COUNTIF(D2:D67,"&gt;0")*COUNTIF(D2:D67,"&lt;0"))-66)/(66-1))^(1/2),2)</f>
        <v>1.44</v>
      </c>
      <c r="G69" s="7" t="s">
        <v>12</v>
      </c>
      <c r="H69" s="5">
        <f>PRODUCT(H2:H67)</f>
        <v>736.64573335700902</v>
      </c>
    </row>
    <row r="70" spans="1:107" x14ac:dyDescent="0.15">
      <c r="A70" s="2"/>
      <c r="B70" s="2"/>
      <c r="C70" s="7" t="s">
        <v>13</v>
      </c>
      <c r="D70" s="5">
        <f>ROUND(CORREL(D2:D66,D3:D67),2)</f>
        <v>-0.3</v>
      </c>
      <c r="G70" s="7" t="s">
        <v>14</v>
      </c>
      <c r="H70" s="5">
        <f>GEOMEAN(H2:H67)</f>
        <v>1.1052062018765436</v>
      </c>
    </row>
    <row r="71" spans="1:107" x14ac:dyDescent="0.15">
      <c r="C71" s="7" t="s">
        <v>15</v>
      </c>
      <c r="D71" s="5">
        <v>0.82</v>
      </c>
      <c r="G71" s="7" t="s">
        <v>16</v>
      </c>
      <c r="H71" s="1">
        <f>MIN(D2:D67)/-D71</f>
        <v>95274.390243902439</v>
      </c>
    </row>
    <row r="72" spans="1:107" x14ac:dyDescent="0.15">
      <c r="C72" s="7"/>
      <c r="G72" s="7"/>
    </row>
    <row r="73" spans="1:107" x14ac:dyDescent="0.15">
      <c r="C73" s="7"/>
      <c r="E73" s="8">
        <v>1</v>
      </c>
      <c r="F73" s="8">
        <v>2</v>
      </c>
      <c r="G73" s="8">
        <v>3</v>
      </c>
      <c r="H73" s="8">
        <v>4</v>
      </c>
    </row>
    <row r="74" spans="1:107" x14ac:dyDescent="0.15">
      <c r="C74" s="7" t="s">
        <v>17</v>
      </c>
      <c r="D74" s="1">
        <f>COUNTIF(D2:D67,"&gt;0")</f>
        <v>36</v>
      </c>
      <c r="E74">
        <f>ROUND(D74/SUM(D74:D75),2)</f>
        <v>0.55000000000000004</v>
      </c>
      <c r="F74" s="5">
        <f>ROUND($E$74^2,2)</f>
        <v>0.3</v>
      </c>
      <c r="G74" s="5">
        <f>ROUND($E$74^3,2)</f>
        <v>0.17</v>
      </c>
      <c r="H74" s="5">
        <f>ROUND($E$74^4,2)</f>
        <v>0.09</v>
      </c>
    </row>
    <row r="75" spans="1:107" x14ac:dyDescent="0.15">
      <c r="C75" s="7" t="s">
        <v>18</v>
      </c>
      <c r="D75" s="1">
        <f>COUNTIF(D2:D67,"&lt;0")</f>
        <v>30</v>
      </c>
      <c r="E75">
        <f>ROUND(D75/SUM(D74:D75),2)</f>
        <v>0.45</v>
      </c>
      <c r="F75" s="5">
        <f>ROUND($E$75^2,2)</f>
        <v>0.2</v>
      </c>
      <c r="G75" s="5">
        <f>ROUND($E$75^3,2)</f>
        <v>0.09</v>
      </c>
      <c r="H75" s="5">
        <f>ROUND($E$75^4,2)</f>
        <v>0.04</v>
      </c>
    </row>
    <row r="76" spans="1:107" x14ac:dyDescent="0.15">
      <c r="C76" s="7" t="s">
        <v>19</v>
      </c>
      <c r="D76" s="5">
        <f>D74/D75</f>
        <v>1.2</v>
      </c>
    </row>
    <row r="77" spans="1:107" x14ac:dyDescent="0.15">
      <c r="C77" s="7"/>
      <c r="F77" s="11" t="s">
        <v>20</v>
      </c>
      <c r="G77" s="11"/>
      <c r="H77" s="11"/>
      <c r="J77" s="12" t="s">
        <v>21</v>
      </c>
      <c r="K77" s="12"/>
    </row>
    <row r="78" spans="1:107" x14ac:dyDescent="0.15">
      <c r="C78" s="7" t="s">
        <v>22</v>
      </c>
      <c r="D78" s="1">
        <v>100000</v>
      </c>
      <c r="F78" s="9">
        <v>2</v>
      </c>
      <c r="G78" s="9">
        <v>4</v>
      </c>
      <c r="H78" s="9">
        <v>1</v>
      </c>
      <c r="J78" s="10">
        <v>1</v>
      </c>
      <c r="K78" s="10">
        <v>0.3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</vt:lpstr>
    </vt:vector>
  </TitlesOfParts>
  <Company>FUTURES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FUTURES</dc:creator>
  <cp:lastModifiedBy>Ran Aroussi</cp:lastModifiedBy>
  <dcterms:created xsi:type="dcterms:W3CDTF">1998-03-03T16:53:09Z</dcterms:created>
  <dcterms:modified xsi:type="dcterms:W3CDTF">2025-06-26T10:55:01Z</dcterms:modified>
</cp:coreProperties>
</file>